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<sst xmlns="http://schemas.openxmlformats.org/spreadsheetml/2006/main" count="33" uniqueCount="31">
  <si>
    <t>Quantity</t>
  </si>
  <si>
    <t>Price/unit</t>
  </si>
  <si>
    <t>Total Price</t>
  </si>
  <si>
    <t>Note</t>
  </si>
  <si>
    <t>Link</t>
  </si>
  <si>
    <t>Local Availability</t>
  </si>
  <si>
    <t>STM32WB55CG</t>
  </si>
  <si>
    <t>https://www.aliexpress.com/item/1005007119406784.html?algo_pvid=d1707644-8ed6-4b3d-bfff-29f57becd0a4&amp;algo_exp_id=d1707644-8ed6-4b3d-bfff-29f57becd0a4-5&amp;pdp_ext_f=%7B%22order%22%3A%223543%22%2C%22eval%22%3A%221%22%2C%22fromPage%22%3A%22search%22%7D&amp;pdp_npi=6%40dis%21PKR%212113.57%211957.40%21%21%2145.86%2142.47%21%40212e520f17806432868782152eaea5%2112000039466790734%21sea%21PK%210%21ABX%211%210%21n_tag%3A-29910%3Bd%3Ac7ba5548%3Bm03_new_user%3A-29895%3BpisId%3A5000000203713833&amp;curPageLogUid=1kyLN33iCBkm&amp;utparam-url=scene%3Asearch%7Cquery_from%3A%7Cx_object_id%3A1005007119406784%7C_p_origin_prod%3A</t>
  </si>
  <si>
    <t>or nRF 5340</t>
  </si>
  <si>
    <t>instead of STM we can use this due to its higher performance but the drawback could be high price</t>
  </si>
  <si>
    <t>https://www.aliexpress.com/item/1005009779397672.html?algo_pvid=11764f33-1b00-4625-af7e-d8a769212c25&amp;algo_exp_id=11764f33-1b00-4625-af7e-d8a769212c25-53&amp;pdp_ext_f={%22order%22%3A%221%22%2C%22eval%22%3A%221%22%2C%22fromPage%22%3A%22search%22}&amp;pdp_npi=6%40dis!USD!63.39!63.39!!!426.00!426.00!%4021010d9017815144537874779e2017!12000050134722264!sea!PK!0!ABX!1!0!n_tag%3A-29910%3Bd%3A9edef408%3Bm03_new_user%3A-29895&amp;curPageLogUid=McXtCieCkKVZ&amp;utparam-url=scene%3Asearch|query_from%3A|x_object_id%3A1005009779397672|_p_origin_prod%3A</t>
  </si>
  <si>
    <t>4KHZ Buzzer</t>
  </si>
  <si>
    <t>https://www.aliexpress.com/item/1005009589049639.html?spm=a2g0o.productlist.main.1.2e63xakYxakYiE&amp;algo_pvid=863c524b-5816-48b0-abb5-7571458c7a43&amp;algo_exp_id=863c524b-5816-48b0-abb5-7571458c7a43-0&amp;pdp_ext_f=%7B%22order%22%3A%22132%22%2C%22eval%22%3A%221%22%2C%22fromPage%22%3A%22search%22%7D&amp;pdp_npi=6%40dis%21PKR%211496.00%21591.83%21%21%2132.46%2112.84%21%40210123bc17806439155426844ea41e%2112000049560088521%21sea%21PK%210%21ABX%211%210%21n_tag%3A-29910%3Bd%3Adf5a08e9%3Bm03_new_user%3A-29895%3BpisId%3A5000000203713833&amp;curPageLogUid=4HAyTh37b3zS&amp;utparam-url=scene%3Asearch%7Cquery_from%3A%7Cx_object_id%3A1005009589049639%7C_p_origin_prod%3A#nav-specification</t>
  </si>
  <si>
    <t>Vibration Motor DC 3V</t>
  </si>
  <si>
    <t>locally available</t>
  </si>
  <si>
    <t>https://www.aliexpress.com/item/1005007600971536.html?spm=a2g0o.productlist.main.4.26745WrH5WrHSz&amp;aem_p4p_detail=202606050020502579252029438760000579032&amp;algo_pvid=2a32403d-8904-416e-a807-0b08c61b5ff6&amp;algo_exp_id=2a32403d-8904-416e-a807-0b08c61b5ff6-3&amp;pdp_ext_f=%7B%22order%22%3A%22888%22%2C%22eval%22%3A%221%22%2C%22fromPage%22%3A%22search%22%7D&amp;pdp_npi=6%40dis%21PKR%21443.52%21359.19%21%21%211.42%211.15%21%402141131717806440503418931ed8cc%2112000041460401285%21sea%21PK%210%21ABX%211%210%21n_tag%3A-29910%3Bd%3Adf5a08e9%3Bm03_new_user%3A-29895&amp;curPageLogUid=x8iPAnTSgmjD&amp;utparam-url=scene%3Asearch%7Cquery_from%3A%7Cx_object_id%3A1005007600971536%7C_p_origin_prod%3A&amp;search_p4p_id=202606050020502579252029438760000579032_1</t>
  </si>
  <si>
    <t>https://electrobes.com/product/3v-6v-dc-mini-coin-vibration-motor-miniature-micro-vibrator/</t>
  </si>
  <si>
    <t>IMU  BNO085</t>
  </si>
  <si>
    <t>https://www.aliexpress.com/item/1005010533705883.html?spm=a2g0o.productlist.main.3.3c5512daMA0kjE&amp;algo_pvid=17e61322-9260-4899-acae-bdd5bc7c2b79&amp;algo_exp_id=17e61322-9260-4899-acae-bdd5bc7c2b79-2&amp;pdp_ext_f=%7B%22order%22%3A%22169%22%2C%22eval%22%3A%221%22%2C%22fromPage%22%3A%22search%22%7D&amp;pdp_npi=6%40dis%21PKR%219217.50%216913.12%21%21%21200.00%21150.00%21%402102f0cc17806455115178707eac6d%2112000052731921898%21sea%21PK%210%21ABX%211%210%21n_tag%3A-29910%3Bd%3Adf5a08e9%3Bm03_new_user%3A-29895&amp;curPageLogUid=lUDpyoDrCCzh&amp;utparam-url=scene%3Asearch%7Cquery_from%3A%7Cx_object_id%3A1005010533705883%7C_p_origin_prod%3A</t>
  </si>
  <si>
    <t>ICM-45686 IMU SENSOR</t>
  </si>
  <si>
    <t>https://www.aliexpress.com/item/1005010459308693.html?spm=a2g0o.productlist.main.21.20c24222k0LoX1&amp;algo_pvid=6b8ff6db-90a4-4b6d-adca-6ade0804c070&amp;algo_exp_id=6b8ff6db-90a4-4b6d-adca-6ade0804c070-20&amp;pdp_ext_f=%7B%22order%22%3A%2215%22%2C%22eval%22%3A%221%22%2C%22fromPage%22%3A%22search%22%7D&amp;pdp_npi=6%40dis%21PKR%215035.52%212416.83%21%21%21109.26%2152.44%21%402101529317806457918546252e2e5c%2112000052481590703%21sea%21PK%210%21ABX%211%210%21n_tag%3A-29910%3Bd%3Adf5a08e9%3Bm03_new_user%3A-29895&amp;curPageLogUid=V4EVMkfAnmvl&amp;utparam-url=scene%3Asearch%7Cquery_from%3A%7Cx_object_id%3A1005010459308693%7C_p_origin_prod%3A</t>
  </si>
  <si>
    <t>MAX485 Module RS-485</t>
  </si>
  <si>
    <t>https://www.aliexpress.com/item/1005007539932947.html?algo_pvid=7fe34213-a68f-4459-8446-3d7ae0cb805a&amp;algo_exp_id=7fe34213-a68f-4459-8446-3d7ae0cb805a-0&amp;pdp_ext_f={%22order%22%3A%2212190%22%2C%22eval%22%3A%221%22%2C%22orig_sl_item_id%22%3A%221005007539932947%22%2C%22orig_item_id%22%3A%221005008258254062%22%2C%22fromPage%22%3A%22search%22}&amp;pdp_npi=6%40dis!USD!3.10!1.02!!!20.84!6.85!%40212a6e2917815831893398171e16a2!12000041214070135!sea!PK!0!ABX!1!0!n_tag%3A-29910%3Bd%3A9edef408%3Bm03_new_user%3A-29895%3BpisId%3A5000000203713833&amp;curPageLogUid=RFn3M7zAKkh1&amp;utparam-url=scene%3Asearch|query_from%3A|x_object_id%3A1005007539932947|_p_origin_prod%3A1005008258254062</t>
  </si>
  <si>
    <t>https://electrobes.com/product/uart-ttl-to-rs485-converter-module/</t>
  </si>
  <si>
    <t>RS485 Twisted Pair Shielded Cable 26awg</t>
  </si>
  <si>
    <t>10m</t>
  </si>
  <si>
    <t>make sure its a 4 core cable</t>
  </si>
  <si>
    <t>https://www.aliexpress.com/item/1005006546939974.html?algo_pvid=e339b484-1ef9-4437-a026-661b508ceade&amp;algo_exp_id=e339b484-1ef9-4437-a026-661b508ceade-0&amp;pdp_ext_f={%22order%22%3A%22166%22%2C%22eval%22%3A%221%22%2C%22fromPage%22%3A%22search%22}&amp;pdp_npi=6%40dis!USD!15.78!13.73!!!106.12!92.32!%40212a6e3217815840658784492e69c8!12000037628896521!sea!PK!0!ABX!1!0!n_tag%3A-29910%3Bd%3A9edef408%3Bm03_new_user%3A-29895&amp;curPageLogUid=JUjTtfaylVYK&amp;utparam-url=scene%3Asearch|query_from%3A|x_object_id%3A1005006546939974|_p_origin_prod%3A</t>
  </si>
  <si>
    <t>Flex Sensors</t>
  </si>
  <si>
    <t>https://www.aliexpress.com/item/1005010471550362.html?algo_pvid=03d618c8-73c5-4a12-8a06-147a0e7c4049&amp;algo_exp_id=03d618c8-73c5-4a12-8a06-147a0e7c4049-8&amp;pdp_ext_f={%22order%22%3A%22113%22%2C%22eval%22%3A%221%22%2C%22fromPage%22%3A%22search%22}&amp;pdp_npi=6%40dis!USD!4.33!4.33!!!4.33!4.33!%40213ba8cc17815160509568285ee0be!12000052522703019!sea!PK!0!ABX!1!0!n_tag%3A-29910%3Bd%3A9edef408%3Bm03_new_user%3A-29895&amp;curPageLogUid=tT85eVDygi15&amp;utparam-url=scene%3Asearch|query_from%3A|x_object_id%3A1005010471550362|_p_origin_prod%3A</t>
  </si>
  <si>
    <t>excluding nrf price for now because nRF alone would cost 316.95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</si>
</sst>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8">
    <font>
      <sz val="10.0"/>
      <color rgb="FF000000"/>
      <name val="Arial"/>
      <scheme val="minor"/>
    </font>
    <font>
      <b/>
      <sz val="15.0"/>
      <color theme="1"/>
      <name val="Roboto Serif"/>
    </font>
    <font>
      <b/>
      <sz val="11.0"/>
      <color rgb="FF000000"/>
      <name val="Roboto Mono"/>
    </font>
    <font>
      <color theme="1"/>
      <name val="Arial"/>
      <scheme val="minor"/>
    </font>
    <font>
      <color rgb="FF000000"/>
      <name val="Arial"/>
      <scheme val="minor"/>
    </font>
    <font>
      <u/>
      <color rgb="FF0000FF"/>
    </font>
    <font>
      <b/>
      <sz val="11.0"/>
      <color theme="1"/>
      <name val="Roboto Mono"/>
    </font>
    <font>
      <b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76A5AF"/>
        <bgColor rgb="FF76A5AF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3" fontId="2" numFmtId="0" xfId="0" applyAlignment="1" applyFill="1" applyFont="1">
      <alignment readingOrder="0" shrinkToFit="0" wrapText="1"/>
    </xf>
    <xf borderId="0" fillId="3" fontId="3" numFmtId="0" xfId="0" applyAlignment="1" applyFont="1">
      <alignment readingOrder="0" shrinkToFit="0" wrapText="1"/>
    </xf>
    <xf borderId="0" fillId="3" fontId="4" numFmtId="164" xfId="0" applyAlignment="1" applyFont="1" applyNumberFormat="1">
      <alignment readingOrder="0"/>
    </xf>
    <xf borderId="0" fillId="3" fontId="3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0" fontId="5" numFmtId="0" xfId="0" applyAlignment="1" applyFont="1">
      <alignment readingOrder="0" shrinkToFit="0" wrapText="1"/>
    </xf>
    <xf borderId="0" fillId="4" fontId="2" numFmtId="0" xfId="0" applyAlignment="1" applyFill="1" applyFont="1">
      <alignment readingOrder="0" shrinkToFit="0" wrapText="1"/>
    </xf>
    <xf borderId="0" fillId="4" fontId="3" numFmtId="0" xfId="0" applyAlignment="1" applyFont="1">
      <alignment readingOrder="0" shrinkToFit="0" wrapText="1"/>
    </xf>
    <xf borderId="0" fillId="4" fontId="4" numFmtId="164" xfId="0" applyAlignment="1" applyFont="1" applyNumberFormat="1">
      <alignment readingOrder="0"/>
    </xf>
    <xf borderId="0" fillId="4" fontId="3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4" numFmtId="164" xfId="0" applyAlignment="1" applyFont="1" applyNumberFormat="1">
      <alignment readingOrder="0"/>
    </xf>
    <xf borderId="0" fillId="5" fontId="2" numFmtId="0" xfId="0" applyAlignment="1" applyFill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right" readingOrder="0" shrinkToFit="0" wrapText="1"/>
    </xf>
    <xf borderId="0" fillId="6" fontId="7" numFmtId="0" xfId="0" applyAlignment="1" applyFill="1" applyFont="1">
      <alignment readingOrder="0" shrinkToFit="0" wrapText="1"/>
    </xf>
    <xf borderId="0" fillId="6" fontId="7" numFmtId="0" xfId="0" applyAlignment="1" applyFont="1">
      <alignment shrinkToFit="0" wrapText="1"/>
    </xf>
    <xf borderId="0" fillId="6" fontId="7" numFmtId="164" xfId="0" applyAlignment="1" applyFont="1" applyNumberFormat="1">
      <alignment shrinkToFit="0" wrapText="1"/>
    </xf>
    <xf borderId="0" fillId="7" fontId="3" numFmtId="0" xfId="0" applyAlignment="1" applyFill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liexpress.com/item/1005007119406784.html?algo_pvid=d1707644-8ed6-4b3d-bfff-29f57becd0a4&amp;algo_exp_id=d1707644-8ed6-4b3d-bfff-29f57becd0a4-5&amp;pdp_ext_f=%7B%22order%22%3A%223543%22%2C%22eval%22%3A%221%22%2C%22fromPage%22%3A%22search%22%7D&amp;pdp_npi=6%40dis%21PKR%212113.57%211957.40%21%21%2145.86%2142.47%21%40212e520f17806432868782152eaea5%2112000039466790734%21sea%21PK%210%21ABX%211%210%21n_tag%3A-29910%3Bd%3Ac7ba5548%3Bm03_new_user%3A-29895%3BpisId%3A5000000203713833&amp;curPageLogUid=1kyLN33iCBkm&amp;utparam-url=scene%3Asearch%7Cquery_from%3A%7Cx_object_id%3A1005007119406784%7C_p_origin_prod%3A" TargetMode="External"/><Relationship Id="rId2" Type="http://schemas.openxmlformats.org/officeDocument/2006/relationships/hyperlink" Target="https://www.aliexpress.com/item/1005009779397672.html?algo_pvid=11764f33-1b00-4625-af7e-d8a769212c25&amp;algo_exp_id=11764f33-1b00-4625-af7e-d8a769212c25-53&amp;pdp_ext_f=%7B%22order%22%3A%221%22%2C%22eval%22%3A%221%22%2C%22fromPage%22%3A%22search%22%7D&amp;pdp_npi=6%40dis!USD!63.39!63.39!!!426.00!426.00!%4021010d9017815144537874779e2017!12000050134722264!sea!PK!0!ABX!1!0!n_tag%3A-29910%3Bd%3A9edef408%3Bm03_new_user%3A-29895&amp;curPageLogUid=McXtCieCkKVZ&amp;utparam-url=scene%3Asearch%7Cquery_from%3A%7Cx_object_id%3A1005009779397672%7C_p_origin_prod%3A" TargetMode="External"/><Relationship Id="rId3" Type="http://schemas.openxmlformats.org/officeDocument/2006/relationships/hyperlink" Target="https://www.aliexpress.com/item/1005009589049639.html?spm=a2g0o.productlist.main.1.2e63xakYxakYiE&amp;algo_pvid=863c524b-5816-48b0-abb5-7571458c7a43&amp;algo_exp_id=863c524b-5816-48b0-abb5-7571458c7a43-0&amp;pdp_ext_f=%7B%22order%22%3A%22132%22%2C%22eval%22%3A%221%22%2C%22fromPage%22%3A%22search%22%7D&amp;pdp_npi=6%40dis%21PKR%211496.00%21591.83%21%21%2132.46%2112.84%21%40210123bc17806439155426844ea41e%2112000049560088521%21sea%21PK%210%21ABX%211%210%21n_tag%3A-29910%3Bd%3Adf5a08e9%3Bm03_new_user%3A-29895%3BpisId%3A5000000203713833&amp;curPageLogUid=4HAyTh37b3zS&amp;utparam-url=scene%3Asearch%7Cquery_from%3A%7Cx_object_id%3A1005009589049639%7C_p_origin_prod%3A" TargetMode="External"/><Relationship Id="rId4" Type="http://schemas.openxmlformats.org/officeDocument/2006/relationships/hyperlink" Target="https://www.aliexpress.com/item/1005007600971536.html?spm=a2g0o.productlist.main.4.26745WrH5WrHSz&amp;aem_p4p_detail=202606050020502579252029438760000579032&amp;algo_pvid=2a32403d-8904-416e-a807-0b08c61b5ff6&amp;algo_exp_id=2a32403d-8904-416e-a807-0b08c61b5ff6-3&amp;pdp_ext_f=%7B%22order%22%3A%22888%22%2C%22eval%22%3A%221%22%2C%22fromPage%22%3A%22search%22%7D&amp;pdp_npi=6%40dis%21PKR%21443.52%21359.19%21%21%211.42%211.15%21%402141131717806440503418931ed8cc%2112000041460401285%21sea%21PK%210%21ABX%211%210%21n_tag%3A-29910%3Bd%3Adf5a08e9%3Bm03_new_user%3A-29895&amp;curPageLogUid=x8iPAnTSgmjD&amp;utparam-url=scene%3Asearch%7Cquery_from%3A%7Cx_object_id%3A1005007600971536%7C_p_origin_prod%3A&amp;search_p4p_id=202606050020502579252029438760000579032_1" TargetMode="External"/><Relationship Id="rId11" Type="http://schemas.openxmlformats.org/officeDocument/2006/relationships/hyperlink" Target="https://www.aliexpress.com/item/1005010471550362.html?algo_pvid=03d618c8-73c5-4a12-8a06-147a0e7c4049&amp;algo_exp_id=03d618c8-73c5-4a12-8a06-147a0e7c4049-8&amp;pdp_ext_f=%7B%22order%22%3A%22113%22%2C%22eval%22%3A%221%22%2C%22fromPage%22%3A%22search%22%7D&amp;pdp_npi=6%40dis!USD!4.33!4.33!!!4.33!4.33!%40213ba8cc17815160509568285ee0be!12000052522703019!sea!PK!0!ABX!1!0!n_tag%3A-29910%3Bd%3A9edef408%3Bm03_new_user%3A-29895&amp;curPageLogUid=tT85eVDygi15&amp;utparam-url=scene%3Asearch%7Cquery_from%3A%7Cx_object_id%3A1005010471550362%7C_p_origin_prod%3A" TargetMode="External"/><Relationship Id="rId10" Type="http://schemas.openxmlformats.org/officeDocument/2006/relationships/hyperlink" Target="https://www.aliexpress.com/item/1005006546939974.html?algo_pvid=e339b484-1ef9-4437-a026-661b508ceade&amp;algo_exp_id=e339b484-1ef9-4437-a026-661b508ceade-0&amp;pdp_ext_f=%7B%22order%22%3A%22166%22%2C%22eval%22%3A%221%22%2C%22fromPage%22%3A%22search%22%7D&amp;pdp_npi=6%40dis!USD!15.78!13.73!!!106.12!92.32!%40212a6e3217815840658784492e69c8!12000037628896521!sea!PK!0!ABX!1!0!n_tag%3A-29910%3Bd%3A9edef408%3Bm03_new_user%3A-29895&amp;curPageLogUid=JUjTtfaylVYK&amp;utparam-url=scene%3Asearch%7Cquery_from%3A%7Cx_object_id%3A1005006546939974%7C_p_origin_prod%3A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electrobes.com/product/uart-ttl-to-rs485-converter-module/" TargetMode="External"/><Relationship Id="rId5" Type="http://schemas.openxmlformats.org/officeDocument/2006/relationships/hyperlink" Target="https://electrobes.com/product/3v-6v-dc-mini-coin-vibration-motor-miniature-micro-vibrator/" TargetMode="External"/><Relationship Id="rId6" Type="http://schemas.openxmlformats.org/officeDocument/2006/relationships/hyperlink" Target="https://www.aliexpress.com/item/1005010533705883.html?spm=a2g0o.productlist.main.3.3c5512daMA0kjE&amp;algo_pvid=17e61322-9260-4899-acae-bdd5bc7c2b79&amp;algo_exp_id=17e61322-9260-4899-acae-bdd5bc7c2b79-2&amp;pdp_ext_f=%7B%22order%22%3A%22169%22%2C%22eval%22%3A%221%22%2C%22fromPage%22%3A%22search%22%7D&amp;pdp_npi=6%40dis%21PKR%219217.50%216913.12%21%21%21200.00%21150.00%21%402102f0cc17806455115178707eac6d%2112000052731921898%21sea%21PK%210%21ABX%211%210%21n_tag%3A-29910%3Bd%3Adf5a08e9%3Bm03_new_user%3A-29895&amp;curPageLogUid=lUDpyoDrCCzh&amp;utparam-url=scene%3Asearch%7Cquery_from%3A%7Cx_object_id%3A1005010533705883%7C_p_origin_prod%3A" TargetMode="External"/><Relationship Id="rId7" Type="http://schemas.openxmlformats.org/officeDocument/2006/relationships/hyperlink" Target="https://www.aliexpress.com/item/1005010459308693.html?spm=a2g0o.productlist.main.21.20c24222k0LoX1&amp;algo_pvid=6b8ff6db-90a4-4b6d-adca-6ade0804c070&amp;algo_exp_id=6b8ff6db-90a4-4b6d-adca-6ade0804c070-20&amp;pdp_ext_f=%7B%22order%22%3A%2215%22%2C%22eval%22%3A%221%22%2C%22fromPage%22%3A%22search%22%7D&amp;pdp_npi=6%40dis%21PKR%215035.52%212416.83%21%21%21109.26%2152.44%21%402101529317806457918546252e2e5c%2112000052481590703%21sea%21PK%210%21ABX%211%210%21n_tag%3A-29910%3Bd%3Adf5a08e9%3Bm03_new_user%3A-29895&amp;curPageLogUid=V4EVMkfAnmvl&amp;utparam-url=scene%3Asearch%7Cquery_from%3A%7Cx_object_id%3A1005010459308693%7C_p_origin_prod%3A" TargetMode="External"/><Relationship Id="rId8" Type="http://schemas.openxmlformats.org/officeDocument/2006/relationships/hyperlink" Target="https://www.aliexpress.com/item/1005007539932947.html?algo_pvid=7fe34213-a68f-4459-8446-3d7ae0cb805a&amp;algo_exp_id=7fe34213-a68f-4459-8446-3d7ae0cb805a-0&amp;pdp_ext_f=%7B%22order%22%3A%2212190%22%2C%22eval%22%3A%221%22%2C%22orig_sl_item_id%22%3A%221005007539932947%22%2C%22orig_item_id%22%3A%221005008258254062%22%2C%22fromPage%22%3A%22search%22%7D&amp;pdp_npi=6%40dis!USD!3.10!1.02!!!20.84!6.85!%40212a6e2917815831893398171e16a2!12000041214070135!sea!PK!0!ABX!1!0!n_tag%3A-29910%3Bd%3A9edef408%3Bm03_new_user%3A-29895%3BpisId%3A5000000203713833&amp;curPageLogUid=RFn3M7zAKkh1&amp;utparam-url=scene%3Asearch%7Cquery_from%3A%7Cx_object_id%3A1005007539932947%7C_p_origin_prod%3A100500825825406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13"/>
    <col customWidth="1" min="2" max="2" width="15.63"/>
    <col customWidth="1" min="3" max="3" width="14.63"/>
    <col customWidth="1" min="4" max="5" width="27.88"/>
    <col customWidth="1" min="6" max="6" width="190.5"/>
    <col customWidth="1" min="7" max="28" width="115.5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" t="s">
        <v>6</v>
      </c>
      <c r="B2" s="4">
        <v>5.0</v>
      </c>
      <c r="C2" s="5">
        <v>8.41</v>
      </c>
      <c r="D2" s="6">
        <f>MULTIPLY(5,8.41)</f>
        <v>42.05</v>
      </c>
      <c r="E2" s="7"/>
      <c r="F2" s="8" t="s">
        <v>7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>
      <c r="A3" s="9" t="s">
        <v>8</v>
      </c>
      <c r="B3" s="10">
        <v>5.0</v>
      </c>
      <c r="C3" s="11">
        <v>63.39</v>
      </c>
      <c r="D3" s="12">
        <f>MULTIPLY(5,63.39)</f>
        <v>316.95</v>
      </c>
      <c r="E3" s="10" t="s">
        <v>9</v>
      </c>
      <c r="F3" s="8" t="s">
        <v>10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>
      <c r="A4" s="13" t="s">
        <v>11</v>
      </c>
      <c r="B4" s="14">
        <v>4.0</v>
      </c>
      <c r="C4" s="15">
        <v>1.91</v>
      </c>
      <c r="D4" s="7">
        <f>MULTIPLY(4,1.91)</f>
        <v>7.64</v>
      </c>
      <c r="E4" s="7"/>
      <c r="F4" s="8" t="s">
        <v>12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>
      <c r="A5" s="16" t="s">
        <v>13</v>
      </c>
      <c r="B5" s="14">
        <v>4.0</v>
      </c>
      <c r="C5" s="15">
        <v>2.07</v>
      </c>
      <c r="D5" s="14">
        <f>MULTIPLY(4,2.07)</f>
        <v>8.28</v>
      </c>
      <c r="E5" s="14" t="s">
        <v>14</v>
      </c>
      <c r="F5" s="8" t="s">
        <v>15</v>
      </c>
      <c r="G5" s="8" t="s">
        <v>16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>
      <c r="A6" s="17" t="s">
        <v>17</v>
      </c>
      <c r="B6" s="14">
        <v>4.0</v>
      </c>
      <c r="C6" s="15">
        <v>22.32</v>
      </c>
      <c r="D6" s="7">
        <f>MULTIPLY(4,22.32)</f>
        <v>89.28</v>
      </c>
      <c r="E6" s="7"/>
      <c r="F6" s="8" t="s">
        <v>18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>
      <c r="A7" s="17" t="s">
        <v>19</v>
      </c>
      <c r="B7" s="14">
        <v>4.0</v>
      </c>
      <c r="C7" s="15">
        <v>7.81</v>
      </c>
      <c r="D7" s="7">
        <f>MULTIPLY(4,7.81)</f>
        <v>31.24</v>
      </c>
      <c r="E7" s="7"/>
      <c r="F7" s="8" t="s">
        <v>20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>
      <c r="A8" s="18" t="s">
        <v>21</v>
      </c>
      <c r="B8" s="14">
        <v>8.0</v>
      </c>
      <c r="C8" s="15">
        <v>1.02</v>
      </c>
      <c r="D8" s="14">
        <f>MULTIPLY(8,1.02)</f>
        <v>8.16</v>
      </c>
      <c r="E8" s="14" t="s">
        <v>14</v>
      </c>
      <c r="F8" s="8" t="s">
        <v>22</v>
      </c>
      <c r="G8" s="8" t="s">
        <v>23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>
      <c r="A9" s="17" t="s">
        <v>24</v>
      </c>
      <c r="B9" s="19" t="s">
        <v>25</v>
      </c>
      <c r="C9" s="15">
        <v>20.09</v>
      </c>
      <c r="D9" s="14">
        <v>15.8</v>
      </c>
      <c r="E9" s="14" t="s">
        <v>26</v>
      </c>
      <c r="F9" s="8" t="s">
        <v>27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>
      <c r="A10" s="17" t="s">
        <v>28</v>
      </c>
      <c r="B10" s="14">
        <v>4.0</v>
      </c>
      <c r="C10" s="15">
        <v>4.33</v>
      </c>
      <c r="D10" s="7">
        <f>MULTIPLY(4,4.33)</f>
        <v>17.32</v>
      </c>
      <c r="E10" s="7"/>
      <c r="F10" s="8" t="s">
        <v>29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>
      <c r="A11" s="20" t="s">
        <v>2</v>
      </c>
      <c r="B11" s="21"/>
      <c r="C11" s="22">
        <f t="shared" ref="C11:D11" si="1">SUM(C2:C10)-C3</f>
        <v>67.96</v>
      </c>
      <c r="D11" s="20">
        <f t="shared" si="1"/>
        <v>219.77</v>
      </c>
      <c r="E11" s="23" t="s">
        <v>30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</row>
  </sheetData>
  <hyperlinks>
    <hyperlink r:id="rId1" ref="F2"/>
    <hyperlink r:id="rId2" ref="F3"/>
    <hyperlink r:id="rId3" location="nav-specification" ref="F4"/>
    <hyperlink r:id="rId4" ref="F5"/>
    <hyperlink r:id="rId5" ref="G5"/>
    <hyperlink r:id="rId6" ref="F6"/>
    <hyperlink r:id="rId7" ref="F7"/>
    <hyperlink r:id="rId8" ref="F8"/>
    <hyperlink r:id="rId9" ref="G8"/>
    <hyperlink r:id="rId10" ref="F9"/>
    <hyperlink r:id="rId11" ref="F10"/>
  </hyperlinks>
  <drawing r:id="rId12"/>
</worksheet>
</file>